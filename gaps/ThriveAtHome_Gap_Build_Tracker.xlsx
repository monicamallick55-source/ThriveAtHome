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p Phases" sheetId="1" state="visible" r:id="rId3"/>
    <sheet name="Partners" sheetId="2" state="visible" r:id="rId4"/>
    <sheet name="Not Included" sheetId="3" state="visible" r:id="rId5"/>
    <sheet name="Reliability &amp; Limi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<sst xmlns="http://schemas.openxmlformats.org/spreadsheetml/2006/main" count="390" uniqueCount="236">
  <si>
    <t xml:space="preserve">ThriveAtHome Gap Build Tracker — G1 to G4 (40 phases)</t>
  </si>
  <si>
    <t xml:space="preserve">Update the Status column as the build loop finishes each phase (pick from the dropdown). Source: gaps/ specs in the repo, Sept 30, 2026.</t>
  </si>
  <si>
    <t xml:space="preserve">Spec</t>
  </si>
  <si>
    <t xml:space="preserve">Phase</t>
  </si>
  <si>
    <t xml:space="preserve">Name</t>
  </si>
  <si>
    <t xml:space="preserve">What it builds</t>
  </si>
  <si>
    <t xml:space="preserve">Migration</t>
  </si>
  <si>
    <t xml:space="preserve">Status</t>
  </si>
  <si>
    <t xml:space="preserve">Notes</t>
  </si>
  <si>
    <t xml:space="preserve">G1</t>
  </si>
  <si>
    <t xml:space="preserve">G1.1</t>
  </si>
  <si>
    <t xml:space="preserve">Call record schema fix</t>
  </si>
  <si>
    <t xml:space="preserve">Adds agent, direction and caller columns; fixes the bug where every completed call fails to save</t>
  </si>
  <si>
    <t xml:space="preserve">085</t>
  </si>
  <si>
    <t xml:space="preserve">Not started</t>
  </si>
  <si>
    <t xml:space="preserve">G1.2</t>
  </si>
  <si>
    <t xml:space="preserve">Agent registry</t>
  </si>
  <si>
    <t xml:space="preserve">Maps all 12 Retell agents to their env vars so each can be used</t>
  </si>
  <si>
    <t xml:space="preserve">—</t>
  </si>
  <si>
    <t xml:space="preserve">G1.3</t>
  </si>
  <si>
    <t xml:space="preserve">Webhook security</t>
  </si>
  <si>
    <t xml:space="preserve">Verifies requests come from Retell; secures tool routes; adds missing call-preferences tool</t>
  </si>
  <si>
    <t xml:space="preserve">G1.4</t>
  </si>
  <si>
    <t xml:space="preserve">Call-ended processing</t>
  </si>
  <si>
    <t xml:space="preserve">Saves inbound + outbound calls, crisis detection, AI summaries, mood scores, alerts, family summary</t>
  </si>
  <si>
    <t xml:space="preserve">G1.5</t>
  </si>
  <si>
    <t xml:space="preserve">Aria opt-in + Launch Protocol</t>
  </si>
  <si>
    <t xml:space="preserve">Aria calls only for opted-in members; navigator welcome and Day-21 tasks</t>
  </si>
  <si>
    <t xml:space="preserve">G1.6</t>
  </si>
  <si>
    <t xml:space="preserve">Joy + Grace calls</t>
  </si>
  <si>
    <t xml:space="preserve">Joy birthday/milestone calls; Grace appointment reminder calls</t>
  </si>
  <si>
    <t xml:space="preserve">G1 review</t>
  </si>
  <si>
    <t xml:space="preserve">Human review + pull request</t>
  </si>
  <si>
    <t xml:space="preserve">Run the spec's human review steps; merge the PR; reply APPROVED</t>
  </si>
  <si>
    <t xml:space="preserve">G2</t>
  </si>
  <si>
    <t xml:space="preserve">G2.0</t>
  </si>
  <si>
    <t xml:space="preserve">RLS helpers</t>
  </si>
  <si>
    <t xml:space="preserve">Shared access rules for seniors logging in directly and family accounts</t>
  </si>
  <si>
    <t xml:space="preserve">086</t>
  </si>
  <si>
    <t xml:space="preserve">G2.1</t>
  </si>
  <si>
    <t xml:space="preserve">Post comments</t>
  </si>
  <si>
    <t xml:space="preserve">Comment threads on circle posts with notifications</t>
  </si>
  <si>
    <t xml:space="preserve">G2.2</t>
  </si>
  <si>
    <t xml:space="preserve">Report &amp; moderation</t>
  </si>
  <si>
    <t xml:space="preserve">Report posts/comments; navigator hide or dismiss</t>
  </si>
  <si>
    <t xml:space="preserve">G2.3</t>
  </si>
  <si>
    <t xml:space="preserve">Event proposals + 41a</t>
  </si>
  <si>
    <t xml:space="preserve">Members propose events for approval; All-Communities events, external RSVP, attendee names</t>
  </si>
  <si>
    <t xml:space="preserve">G2.4</t>
  </si>
  <si>
    <t xml:space="preserve">Circle members tab</t>
  </si>
  <si>
    <t xml:space="preserve">Opt-in member list on each circle</t>
  </si>
  <si>
    <t xml:space="preserve">G2.5</t>
  </si>
  <si>
    <t xml:space="preserve">Friends + private messages</t>
  </si>
  <si>
    <t xml:space="preserve">Friend requests and messaging, screened for scams</t>
  </si>
  <si>
    <t xml:space="preserve">087</t>
  </si>
  <si>
    <t xml:space="preserve">G2.6</t>
  </si>
  <si>
    <t xml:space="preserve">Facilitated introductions</t>
  </si>
  <si>
    <t xml:space="preserve">Navigator-arranged warm introductions between members</t>
  </si>
  <si>
    <t xml:space="preserve">G2 review</t>
  </si>
  <si>
    <t xml:space="preserve">G3</t>
  </si>
  <si>
    <t xml:space="preserve">G3.4</t>
  </si>
  <si>
    <t xml:space="preserve">Fraud flags + detector</t>
  </si>
  <si>
    <t xml:space="preserve">Scam detection on calls, messages and gift orders; family sees flags</t>
  </si>
  <si>
    <t xml:space="preserve">089</t>
  </si>
  <si>
    <t xml:space="preserve">G3.1</t>
  </si>
  <si>
    <t xml:space="preserve">Family events calendar</t>
  </si>
  <si>
    <t xml:space="preserve">Family dates Aria mentions on calls; day-of send buttons</t>
  </si>
  <si>
    <t xml:space="preserve">088</t>
  </si>
  <si>
    <t xml:space="preserve">G3.2</t>
  </si>
  <si>
    <t xml:space="preserve">Cards, notes &amp; gifts</t>
  </si>
  <si>
    <t xml:space="preserve">Senior sends cards/gifts; family approval over $75 or for gift cards</t>
  </si>
  <si>
    <t xml:space="preserve">G3.3</t>
  </si>
  <si>
    <t xml:space="preserve">Family-initiated celebrations</t>
  </si>
  <si>
    <t xml:space="preserve">Free / $25 / $75 celebration tiers with family coordination room</t>
  </si>
  <si>
    <t xml:space="preserve">G3 review</t>
  </si>
  <si>
    <t xml:space="preserve">G4</t>
  </si>
  <si>
    <t xml:space="preserve">G4.1</t>
  </si>
  <si>
    <t xml:space="preserve">HV importer + sync</t>
  </si>
  <si>
    <t xml:space="preserve">Import Helpful Village CSV exports; honest sync status</t>
  </si>
  <si>
    <t xml:space="preserve">090</t>
  </si>
  <si>
    <t xml:space="preserve">G4.2</t>
  </si>
  <si>
    <t xml:space="preserve">SMS broadcasts</t>
  </si>
  <si>
    <t xml:space="preserve">Text option for org broadcasts and family nudges; STOP opt-out</t>
  </si>
  <si>
    <t xml:space="preserve">G4.3</t>
  </si>
  <si>
    <t xml:space="preserve">Geocoding &amp; distance</t>
  </si>
  <si>
    <t xml:space="preserve">Distance-based volunteer matching and search</t>
  </si>
  <si>
    <t xml:space="preserve">G4.4</t>
  </si>
  <si>
    <t xml:space="preserve">Grief circles</t>
  </si>
  <si>
    <t xml:space="preserve">Navigator-run facilitated grief support groups</t>
  </si>
  <si>
    <t xml:space="preserve">G4.5</t>
  </si>
  <si>
    <t xml:space="preserve">Thrive Device kiosk</t>
  </si>
  <si>
    <t xml:space="preserve">Tablet pairing, /device screen, device management</t>
  </si>
  <si>
    <t xml:space="preserve">G4.6</t>
  </si>
  <si>
    <t xml:space="preserve">Transport dispatch tiers</t>
  </si>
  <si>
    <t xml:space="preserve">Volunteer → Lyft → AV partner ride routing</t>
  </si>
  <si>
    <t xml:space="preserve">G4.7</t>
  </si>
  <si>
    <t xml:space="preserve">Volunteer training</t>
  </si>
  <si>
    <t xml:space="preserve">Required training modules and hour badges</t>
  </si>
  <si>
    <t xml:space="preserve">G4.8</t>
  </si>
  <si>
    <t xml:space="preserve">Language Line bridge</t>
  </si>
  <si>
    <t xml:space="preserve">Interpreter hand-off on Quinn calls</t>
  </si>
  <si>
    <t xml:space="preserve">G4 review</t>
  </si>
  <si>
    <t xml:space="preserve">G5</t>
  </si>
  <si>
    <t xml:space="preserve">G5.1</t>
  </si>
  <si>
    <t xml:space="preserve">Medicare: MA data + member help</t>
  </si>
  <si>
    <t xml:space="preserve">Populate the clinical fields MA reports read (currently always empty); report hardening; Medicare plan help, HICAP referral, Open Enrollment reminders</t>
  </si>
  <si>
    <t xml:space="preserve">091+</t>
  </si>
  <si>
    <t xml:space="preserve">G5.2</t>
  </si>
  <si>
    <t xml:space="preserve">Paid companion payouts</t>
  </si>
  <si>
    <t xml:space="preserve">Stripe Connect onboarding and 20% fee for paid companions; Premier $50/month credits</t>
  </si>
  <si>
    <t xml:space="preserve">G5.3</t>
  </si>
  <si>
    <t xml:space="preserve">Geographic chapters</t>
  </si>
  <si>
    <t xml:space="preserve">Metro areas, chapter auto-activation at 50 members, same-chapter matching</t>
  </si>
  <si>
    <t xml:space="preserve">G5.4</t>
  </si>
  <si>
    <t xml:space="preserve">Celebrations depth</t>
  </si>
  <si>
    <t xml:space="preserve">7-day birthday arc, milestone-age programmes (70–100), achievements, home-from-hospital welcome</t>
  </si>
  <si>
    <t xml:space="preserve">G5.5</t>
  </si>
  <si>
    <t xml:space="preserve">Life transitions depth</t>
  </si>
  <si>
    <t xml:space="preserve">4 new pathways, 6-week facility-move plan, therapist/chaplain warm introductions</t>
  </si>
  <si>
    <t xml:space="preserve">G5.6</t>
  </si>
  <si>
    <t xml:space="preserve">Interest circles + cultural content</t>
  </si>
  <si>
    <t xml:space="preserve">Veterans, LGBTQ+ (private), Widows &amp; Widowers, Professional Identity circles; cultural content feed</t>
  </si>
  <si>
    <t xml:space="preserve">G5.7</t>
  </si>
  <si>
    <t xml:space="preserve">Plan entitlements + SKUs</t>
  </si>
  <si>
    <t xml:space="preserve">Navigator hours, family seat limits, 4 missing add-ons</t>
  </si>
  <si>
    <t xml:space="preserve">G5.8</t>
  </si>
  <si>
    <t xml:space="preserve">Family summary text + event rides</t>
  </si>
  <si>
    <t xml:space="preserve">Daily call summary text to family; ride booked with event RSVP</t>
  </si>
  <si>
    <t xml:space="preserve">G5.9</t>
  </si>
  <si>
    <t xml:space="preserve">FHIR referrals + compare pages</t>
  </si>
  <si>
    <t xml:space="preserve">Hospital discharge referrals via FHIR R4; 4 comparison pages</t>
  </si>
  <si>
    <t xml:space="preserve">G5.10</t>
  </si>
  <si>
    <t xml:space="preserve">Volunteer ecosystem completion</t>
  </si>
  <si>
    <t xml:space="preserve">VSO affiliations + VAVS export, corporate tiers, family reciprocity credits</t>
  </si>
  <si>
    <t xml:space="preserve">G5 review</t>
  </si>
  <si>
    <t xml:space="preserve">G6</t>
  </si>
  <si>
    <t xml:space="preserve">G6.0</t>
  </si>
  <si>
    <t xml:space="preserve">Community partners</t>
  </si>
  <si>
    <t xml:space="preserve">Outbound partner directory, consented referrals, follow-up check-ins</t>
  </si>
  <si>
    <t xml:space="preserve">G6.1</t>
  </si>
  <si>
    <t xml:space="preserve">Home Safety &amp; Earthquake Prep</t>
  </si>
  <si>
    <t xml:space="preserve">Modelled on Foster City Village: yearly programme, volunteers with 3–5 homes, training, inspection, itemised proposal (all/some/none), licensed contractor work, free/subsidised/member-pays costs, fridge magnet, Go-Bag, presentation series, grant report</t>
  </si>
  <si>
    <t xml:space="preserve">G6.2</t>
  </si>
  <si>
    <t xml:space="preserve">Home Sharing</t>
  </si>
  <si>
    <t xml:space="preserve">Interest form and warm referral to HIP Housing (San Mateo); demand tracking elsewhere</t>
  </si>
  <si>
    <t xml:space="preserve">G6.3</t>
  </si>
  <si>
    <t xml:space="preserve">Encore Careers</t>
  </si>
  <si>
    <t xml:space="preserve">Career profile, opportunities board, SCSEP/job-centre referrals, internal paid roles</t>
  </si>
  <si>
    <t xml:space="preserve">G6.4</t>
  </si>
  <si>
    <t xml:space="preserve">Member-in-Need Campaigns</t>
  </si>
  <si>
    <t xml:space="preserve">Admin-verified giving campaigns paid to partner org or vendor; legal/Stripe review before launch</t>
  </si>
  <si>
    <t xml:space="preserve">G6 review</t>
  </si>
  <si>
    <t xml:space="preserve">Summary</t>
  </si>
  <si>
    <t xml:space="preserve">Build phases</t>
  </si>
  <si>
    <t xml:space="preserve">Done</t>
  </si>
  <si>
    <t xml:space="preserve">In progress</t>
  </si>
  <si>
    <t xml:space="preserve">Blocked</t>
  </si>
  <si>
    <t xml:space="preserve">% complete</t>
  </si>
  <si>
    <t xml:space="preserve">Community partners to confirm before activation (seeded as pending)</t>
  </si>
  <si>
    <t xml:space="preserve">Partner</t>
  </si>
  <si>
    <t xml:space="preserve">Used by</t>
  </si>
  <si>
    <t xml:space="preserve">County</t>
  </si>
  <si>
    <t xml:space="preserve">Phone</t>
  </si>
  <si>
    <t xml:space="preserve">What they do</t>
  </si>
  <si>
    <t xml:space="preserve">Confirmed? (Y/N)</t>
  </si>
  <si>
    <t xml:space="preserve">Hassett Hardware — Handyman Program</t>
  </si>
  <si>
    <t xml:space="preserve">San Mateo (Foster City)</t>
  </si>
  <si>
    <t xml:space="preserve">Confirm</t>
  </si>
  <si>
    <t xml:space="preserve">Licensed contractor partner in Foster City Village's home safety programme</t>
  </si>
  <si>
    <t xml:space="preserve">HIP Housing — Home Sharing Program</t>
  </si>
  <si>
    <t xml:space="preserve">San Mateo</t>
  </si>
  <si>
    <t xml:space="preserve">650-348-6660</t>
  </si>
  <si>
    <t xml:space="preserve">Screens and matches home providers and seekers; Living Together Agreement; follow-up; home visits for homebound seniors</t>
  </si>
  <si>
    <t xml:space="preserve">Rebuilding Together Peninsula — Safe at Home</t>
  </si>
  <si>
    <t xml:space="preserve">San Mateo; north Santa Clara</t>
  </si>
  <si>
    <t xml:space="preserve">650-366-6597</t>
  </si>
  <si>
    <t xml:space="preserve">Free safety and health repairs for low-income homeowners</t>
  </si>
  <si>
    <t xml:space="preserve">Center for Independence of Individuals with Disabilities</t>
  </si>
  <si>
    <t xml:space="preserve">650-645-1780</t>
  </si>
  <si>
    <t xml:space="preserve">Grab bars, railings, ramps</t>
  </si>
  <si>
    <t xml:space="preserve">Felton Institute — SCSEP</t>
  </si>
  <si>
    <t xml:space="preserve">San Mateo; Marin</t>
  </si>
  <si>
    <t xml:space="preserve">Paid part-time community service training for low-income adults 55+</t>
  </si>
  <si>
    <t xml:space="preserve">NOVAworks Job Center — San Mateo</t>
  </si>
  <si>
    <t xml:space="preserve">Job search, training, coaching (1777 Borel Place, Suite 500)</t>
  </si>
  <si>
    <t xml:space="preserve">HICAP of San Mateo County</t>
  </si>
  <si>
    <t xml:space="preserve">Free Medicare counselling</t>
  </si>
  <si>
    <t xml:space="preserve">AARP Foundation</t>
  </si>
  <si>
    <t xml:space="preserve">National</t>
  </si>
  <si>
    <t xml:space="preserve">Back to Work 50+ and SCSEP nationally</t>
  </si>
  <si>
    <t xml:space="preserve">AmeriCorps Seniors</t>
  </si>
  <si>
    <t xml:space="preserve">Local sponsors</t>
  </si>
  <si>
    <t xml:space="preserve">RSVP, Senior Companion, Foster Grandparent</t>
  </si>
  <si>
    <t xml:space="preserve">CoGenerate (formerly Encore.org)</t>
  </si>
  <si>
    <t xml:space="preserve">Encore fellowships, intergenerational roles</t>
  </si>
  <si>
    <t xml:space="preserve">Deliberately left out of the gap build</t>
  </si>
  <si>
    <t xml:space="preserve">Item</t>
  </si>
  <si>
    <t xml:space="preserve">Why</t>
  </si>
  <si>
    <t xml:space="preserve">Who / when</t>
  </si>
  <si>
    <t xml:space="preserve">Full multilingual UI (Phase 55)</t>
  </si>
  <si>
    <t xml:space="preserve">Roadmap puts it last, after M19–M27</t>
  </si>
  <si>
    <t xml:space="preserve">Build later</t>
  </si>
  <si>
    <t xml:space="preserve">Business Associate Agreements (Supabase, Twilio, Anthropic, Retell, Checkr)</t>
  </si>
  <si>
    <t xml:space="preserve">Legal agreements, not code</t>
  </si>
  <si>
    <t xml:space="preserve">You — before real members</t>
  </si>
  <si>
    <t xml:space="preserve">API keys in Vercel (12 Retell agent IDs, RETELL_API_KEY, TWILIO_PHONE_NUMBER, ANTHROPIC_API_KEY, SENDGRID_API_KEY)</t>
  </si>
  <si>
    <t xml:space="preserve">Credentials, not code</t>
  </si>
  <si>
    <t xml:space="preserve">You — needed to test real calls</t>
  </si>
  <si>
    <t xml:space="preserve">Stripe live mode</t>
  </si>
  <si>
    <t xml:space="preserve">Account setting</t>
  </si>
  <si>
    <t xml:space="preserve">You — when ready for real payments</t>
  </si>
  <si>
    <t xml:space="preserve">Legal + Stripe review of member-in-need campaigns (G6.4)</t>
  </si>
  <si>
    <t xml:space="preserve">Tax and payment-processor rules must be confirmed before real donations</t>
  </si>
  <si>
    <t xml:space="preserve">You + counsel</t>
  </si>
  <si>
    <t xml:space="preserve">Senior mobile app (React Native), Alexa/Google skills</t>
  </si>
  <si>
    <t xml:space="preserve">Vision items with no current build plan</t>
  </si>
  <si>
    <t xml:space="preserve">Later roadmap</t>
  </si>
  <si>
    <t xml:space="preserve">How the build loop works — and its limits</t>
  </si>
  <si>
    <t xml:space="preserve">Topic</t>
  </si>
  <si>
    <t xml:space="preserve">Detail</t>
  </si>
  <si>
    <t xml:space="preserve">Testing</t>
  </si>
  <si>
    <t xml:space="preserve">After every phase: its checklist, type check (tsc) and lint must all pass before moving on</t>
  </si>
  <si>
    <t xml:space="preserve">Getting stuck</t>
  </si>
  <si>
    <t xml:space="preserve">After 3 failed fixes on one item it stops as BLOCKED and asks you</t>
  </si>
  <si>
    <t xml:space="preserve">SQL</t>
  </si>
  <si>
    <t xml:space="preserve">Stops and names the migration file to run in the Supabase SQL Editor; reply DONE</t>
  </si>
  <si>
    <t xml:space="preserve">Human checkpoints</t>
  </si>
  <si>
    <t xml:space="preserve">At the end of G1 to G6: human review steps + a pull request; reply APPROVED after merging</t>
  </si>
  <si>
    <t xml:space="preserve">Nothing reaches main without you</t>
  </si>
  <si>
    <t xml:space="preserve">Work happens on gaps/g1…g6 branches; you merge each pull request</t>
  </si>
  <si>
    <t xml:space="preserve">Real integrations</t>
  </si>
  <si>
    <t xml:space="preserve">Tests use your real Retell, Twilio, Anthropic, SendGrid and Stripe test accounts — calls and texts only to TEST_PHONE_NUMBER, Stripe test mode only</t>
  </si>
  <si>
    <t xml:space="preserve">Limit: usage limits (Pro plan)</t>
  </si>
  <si>
    <t xml:space="preserve">If it stops, wait for the reset, run claude again and paste: Read gaps/GAP_BUILD_PROMPT.md and follow it exactly.</t>
  </si>
  <si>
    <t xml:space="preserve">Alternative: per-phase checks</t>
  </si>
  <si>
    <t xml:space="preserve">./build-gaps.sh pauses after every phase, like your original build.sh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</si>
</sst>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FCE5CD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8"/>
    <col collapsed="false" customWidth="true" hidden="false" outlineLevel="0" max="4" min="4" style="0" width="62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6.8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5" t="s">
        <v>14</v>
      </c>
      <c r="G5" s="6"/>
    </row>
    <row r="6" customFormat="false" ht="15" hidden="false" customHeight="false" outlineLevel="0" collapsed="false">
      <c r="A6" s="4" t="s">
        <v>9</v>
      </c>
      <c r="B6" s="4" t="s">
        <v>15</v>
      </c>
      <c r="C6" s="4" t="s">
        <v>16</v>
      </c>
      <c r="D6" s="4" t="s">
        <v>17</v>
      </c>
      <c r="E6" s="4" t="s">
        <v>18</v>
      </c>
      <c r="F6" s="5" t="s">
        <v>14</v>
      </c>
      <c r="G6" s="6"/>
    </row>
    <row r="7" customFormat="false" ht="26.85" hidden="false" customHeight="false" outlineLevel="0" collapsed="false">
      <c r="A7" s="4" t="s">
        <v>9</v>
      </c>
      <c r="B7" s="4" t="s">
        <v>19</v>
      </c>
      <c r="C7" s="4" t="s">
        <v>20</v>
      </c>
      <c r="D7" s="4" t="s">
        <v>21</v>
      </c>
      <c r="E7" s="4" t="s">
        <v>18</v>
      </c>
      <c r="F7" s="5" t="s">
        <v>14</v>
      </c>
      <c r="G7" s="6"/>
    </row>
    <row r="8" customFormat="false" ht="26.85" hidden="false" customHeight="false" outlineLevel="0" collapsed="false">
      <c r="A8" s="4" t="s">
        <v>9</v>
      </c>
      <c r="B8" s="4" t="s">
        <v>22</v>
      </c>
      <c r="C8" s="4" t="s">
        <v>23</v>
      </c>
      <c r="D8" s="4" t="s">
        <v>24</v>
      </c>
      <c r="E8" s="4" t="s">
        <v>18</v>
      </c>
      <c r="F8" s="5" t="s">
        <v>14</v>
      </c>
      <c r="G8" s="6"/>
    </row>
    <row r="9" customFormat="false" ht="26.85" hidden="false" customHeight="false" outlineLevel="0" collapsed="false">
      <c r="A9" s="4" t="s">
        <v>9</v>
      </c>
      <c r="B9" s="4" t="s">
        <v>25</v>
      </c>
      <c r="C9" s="4" t="s">
        <v>26</v>
      </c>
      <c r="D9" s="4" t="s">
        <v>27</v>
      </c>
      <c r="E9" s="4" t="s">
        <v>18</v>
      </c>
      <c r="F9" s="5" t="s">
        <v>14</v>
      </c>
      <c r="G9" s="6"/>
    </row>
    <row r="10" customFormat="false" ht="15" hidden="false" customHeight="false" outlineLevel="0" collapsed="false">
      <c r="A10" s="4" t="s">
        <v>9</v>
      </c>
      <c r="B10" s="4" t="s">
        <v>28</v>
      </c>
      <c r="C10" s="4" t="s">
        <v>29</v>
      </c>
      <c r="D10" s="4" t="s">
        <v>30</v>
      </c>
      <c r="E10" s="4" t="s">
        <v>13</v>
      </c>
      <c r="F10" s="5" t="s">
        <v>14</v>
      </c>
      <c r="G10" s="6"/>
    </row>
    <row r="11" customFormat="false" ht="26.85" hidden="false" customHeight="false" outlineLevel="0" collapsed="false">
      <c r="A11" s="7" t="s">
        <v>9</v>
      </c>
      <c r="B11" s="7" t="s">
        <v>31</v>
      </c>
      <c r="C11" s="7" t="s">
        <v>32</v>
      </c>
      <c r="D11" s="7" t="s">
        <v>33</v>
      </c>
      <c r="E11" s="7" t="s">
        <v>18</v>
      </c>
      <c r="F11" s="5" t="s">
        <v>14</v>
      </c>
      <c r="G11" s="6"/>
    </row>
    <row r="12" customFormat="false" ht="26.85" hidden="false" customHeight="false" outlineLevel="0" collapsed="false">
      <c r="A12" s="4" t="s">
        <v>34</v>
      </c>
      <c r="B12" s="4" t="s">
        <v>35</v>
      </c>
      <c r="C12" s="4" t="s">
        <v>36</v>
      </c>
      <c r="D12" s="4" t="s">
        <v>37</v>
      </c>
      <c r="E12" s="4" t="s">
        <v>38</v>
      </c>
      <c r="F12" s="5" t="s">
        <v>14</v>
      </c>
      <c r="G12" s="6"/>
    </row>
    <row r="13" customFormat="false" ht="15" hidden="false" customHeight="false" outlineLevel="0" collapsed="false">
      <c r="A13" s="4" t="s">
        <v>34</v>
      </c>
      <c r="B13" s="4" t="s">
        <v>39</v>
      </c>
      <c r="C13" s="4" t="s">
        <v>40</v>
      </c>
      <c r="D13" s="4" t="s">
        <v>41</v>
      </c>
      <c r="E13" s="4" t="s">
        <v>38</v>
      </c>
      <c r="F13" s="5" t="s">
        <v>14</v>
      </c>
      <c r="G13" s="6"/>
    </row>
    <row r="14" customFormat="false" ht="15" hidden="false" customHeight="false" outlineLevel="0" collapsed="false">
      <c r="A14" s="4" t="s">
        <v>34</v>
      </c>
      <c r="B14" s="4" t="s">
        <v>42</v>
      </c>
      <c r="C14" s="4" t="s">
        <v>43</v>
      </c>
      <c r="D14" s="4" t="s">
        <v>44</v>
      </c>
      <c r="E14" s="4" t="s">
        <v>38</v>
      </c>
      <c r="F14" s="5" t="s">
        <v>14</v>
      </c>
      <c r="G14" s="6"/>
    </row>
    <row r="15" customFormat="false" ht="26.85" hidden="false" customHeight="false" outlineLevel="0" collapsed="false">
      <c r="A15" s="4" t="s">
        <v>34</v>
      </c>
      <c r="B15" s="4" t="s">
        <v>45</v>
      </c>
      <c r="C15" s="4" t="s">
        <v>46</v>
      </c>
      <c r="D15" s="4" t="s">
        <v>47</v>
      </c>
      <c r="E15" s="4" t="s">
        <v>38</v>
      </c>
      <c r="F15" s="5" t="s">
        <v>14</v>
      </c>
      <c r="G15" s="6"/>
    </row>
    <row r="16" customFormat="false" ht="15" hidden="false" customHeight="false" outlineLevel="0" collapsed="false">
      <c r="A16" s="4" t="s">
        <v>34</v>
      </c>
      <c r="B16" s="4" t="s">
        <v>48</v>
      </c>
      <c r="C16" s="4" t="s">
        <v>49</v>
      </c>
      <c r="D16" s="4" t="s">
        <v>50</v>
      </c>
      <c r="E16" s="4" t="s">
        <v>18</v>
      </c>
      <c r="F16" s="5" t="s">
        <v>14</v>
      </c>
      <c r="G16" s="6"/>
    </row>
    <row r="17" customFormat="false" ht="15" hidden="false" customHeight="false" outlineLevel="0" collapsed="false">
      <c r="A17" s="4" t="s">
        <v>34</v>
      </c>
      <c r="B17" s="4" t="s">
        <v>51</v>
      </c>
      <c r="C17" s="4" t="s">
        <v>52</v>
      </c>
      <c r="D17" s="4" t="s">
        <v>53</v>
      </c>
      <c r="E17" s="4" t="s">
        <v>54</v>
      </c>
      <c r="F17" s="5" t="s">
        <v>14</v>
      </c>
      <c r="G17" s="6"/>
    </row>
    <row r="18" customFormat="false" ht="15" hidden="false" customHeight="false" outlineLevel="0" collapsed="false">
      <c r="A18" s="4" t="s">
        <v>34</v>
      </c>
      <c r="B18" s="4" t="s">
        <v>55</v>
      </c>
      <c r="C18" s="4" t="s">
        <v>56</v>
      </c>
      <c r="D18" s="4" t="s">
        <v>57</v>
      </c>
      <c r="E18" s="4" t="s">
        <v>54</v>
      </c>
      <c r="F18" s="5" t="s">
        <v>14</v>
      </c>
      <c r="G18" s="6"/>
    </row>
    <row r="19" customFormat="false" ht="26.85" hidden="false" customHeight="false" outlineLevel="0" collapsed="false">
      <c r="A19" s="7" t="s">
        <v>34</v>
      </c>
      <c r="B19" s="7" t="s">
        <v>58</v>
      </c>
      <c r="C19" s="7" t="s">
        <v>32</v>
      </c>
      <c r="D19" s="7" t="s">
        <v>33</v>
      </c>
      <c r="E19" s="7" t="s">
        <v>18</v>
      </c>
      <c r="F19" s="5" t="s">
        <v>14</v>
      </c>
      <c r="G19" s="6"/>
    </row>
    <row r="20" customFormat="false" ht="26.85" hidden="false" customHeight="false" outlineLevel="0" collapsed="false">
      <c r="A20" s="4" t="s">
        <v>59</v>
      </c>
      <c r="B20" s="4" t="s">
        <v>60</v>
      </c>
      <c r="C20" s="4" t="s">
        <v>61</v>
      </c>
      <c r="D20" s="4" t="s">
        <v>62</v>
      </c>
      <c r="E20" s="4" t="s">
        <v>63</v>
      </c>
      <c r="F20" s="5" t="s">
        <v>14</v>
      </c>
      <c r="G20" s="6"/>
    </row>
    <row r="21" customFormat="false" ht="15" hidden="false" customHeight="false" outlineLevel="0" collapsed="false">
      <c r="A21" s="4" t="s">
        <v>59</v>
      </c>
      <c r="B21" s="4" t="s">
        <v>64</v>
      </c>
      <c r="C21" s="4" t="s">
        <v>65</v>
      </c>
      <c r="D21" s="4" t="s">
        <v>66</v>
      </c>
      <c r="E21" s="4" t="s">
        <v>67</v>
      </c>
      <c r="F21" s="5" t="s">
        <v>14</v>
      </c>
      <c r="G21" s="6"/>
    </row>
    <row r="22" customFormat="false" ht="15" hidden="false" customHeight="false" outlineLevel="0" collapsed="false">
      <c r="A22" s="4" t="s">
        <v>59</v>
      </c>
      <c r="B22" s="4" t="s">
        <v>68</v>
      </c>
      <c r="C22" s="4" t="s">
        <v>69</v>
      </c>
      <c r="D22" s="4" t="s">
        <v>70</v>
      </c>
      <c r="E22" s="4" t="s">
        <v>67</v>
      </c>
      <c r="F22" s="5" t="s">
        <v>14</v>
      </c>
      <c r="G22" s="6"/>
    </row>
    <row r="23" customFormat="false" ht="15" hidden="false" customHeight="false" outlineLevel="0" collapsed="false">
      <c r="A23" s="4" t="s">
        <v>59</v>
      </c>
      <c r="B23" s="4" t="s">
        <v>71</v>
      </c>
      <c r="C23" s="4" t="s">
        <v>72</v>
      </c>
      <c r="D23" s="4" t="s">
        <v>73</v>
      </c>
      <c r="E23" s="4" t="s">
        <v>67</v>
      </c>
      <c r="F23" s="5" t="s">
        <v>14</v>
      </c>
      <c r="G23" s="6"/>
    </row>
    <row r="24" customFormat="false" ht="26.85" hidden="false" customHeight="false" outlineLevel="0" collapsed="false">
      <c r="A24" s="7" t="s">
        <v>59</v>
      </c>
      <c r="B24" s="7" t="s">
        <v>74</v>
      </c>
      <c r="C24" s="7" t="s">
        <v>32</v>
      </c>
      <c r="D24" s="7" t="s">
        <v>33</v>
      </c>
      <c r="E24" s="7" t="s">
        <v>18</v>
      </c>
      <c r="F24" s="5" t="s">
        <v>14</v>
      </c>
      <c r="G24" s="6"/>
    </row>
    <row r="25" customFormat="false" ht="15" hidden="false" customHeight="false" outlineLevel="0" collapsed="false">
      <c r="A25" s="4" t="s">
        <v>75</v>
      </c>
      <c r="B25" s="4" t="s">
        <v>76</v>
      </c>
      <c r="C25" s="4" t="s">
        <v>77</v>
      </c>
      <c r="D25" s="4" t="s">
        <v>78</v>
      </c>
      <c r="E25" s="4" t="s">
        <v>79</v>
      </c>
      <c r="F25" s="5" t="s">
        <v>14</v>
      </c>
      <c r="G25" s="6"/>
    </row>
    <row r="26" customFormat="false" ht="15" hidden="false" customHeight="false" outlineLevel="0" collapsed="false">
      <c r="A26" s="4" t="s">
        <v>75</v>
      </c>
      <c r="B26" s="4" t="s">
        <v>80</v>
      </c>
      <c r="C26" s="4" t="s">
        <v>81</v>
      </c>
      <c r="D26" s="4" t="s">
        <v>82</v>
      </c>
      <c r="E26" s="4" t="s">
        <v>79</v>
      </c>
      <c r="F26" s="5" t="s">
        <v>14</v>
      </c>
      <c r="G26" s="6"/>
    </row>
    <row r="27" customFormat="false" ht="15" hidden="false" customHeight="false" outlineLevel="0" collapsed="false">
      <c r="A27" s="4" t="s">
        <v>75</v>
      </c>
      <c r="B27" s="4" t="s">
        <v>83</v>
      </c>
      <c r="C27" s="4" t="s">
        <v>84</v>
      </c>
      <c r="D27" s="4" t="s">
        <v>85</v>
      </c>
      <c r="E27" s="4" t="s">
        <v>79</v>
      </c>
      <c r="F27" s="5" t="s">
        <v>14</v>
      </c>
      <c r="G27" s="6"/>
    </row>
    <row r="28" customFormat="false" ht="15" hidden="false" customHeight="false" outlineLevel="0" collapsed="false">
      <c r="A28" s="4" t="s">
        <v>75</v>
      </c>
      <c r="B28" s="4" t="s">
        <v>86</v>
      </c>
      <c r="C28" s="4" t="s">
        <v>87</v>
      </c>
      <c r="D28" s="4" t="s">
        <v>88</v>
      </c>
      <c r="E28" s="4" t="s">
        <v>79</v>
      </c>
      <c r="F28" s="5" t="s">
        <v>14</v>
      </c>
      <c r="G28" s="6"/>
    </row>
    <row r="29" customFormat="false" ht="15" hidden="false" customHeight="false" outlineLevel="0" collapsed="false">
      <c r="A29" s="4" t="s">
        <v>75</v>
      </c>
      <c r="B29" s="4" t="s">
        <v>89</v>
      </c>
      <c r="C29" s="4" t="s">
        <v>90</v>
      </c>
      <c r="D29" s="4" t="s">
        <v>91</v>
      </c>
      <c r="E29" s="4" t="s">
        <v>79</v>
      </c>
      <c r="F29" s="5" t="s">
        <v>14</v>
      </c>
      <c r="G29" s="6"/>
    </row>
    <row r="30" customFormat="false" ht="15" hidden="false" customHeight="false" outlineLevel="0" collapsed="false">
      <c r="A30" s="4" t="s">
        <v>75</v>
      </c>
      <c r="B30" s="4" t="s">
        <v>92</v>
      </c>
      <c r="C30" s="4" t="s">
        <v>93</v>
      </c>
      <c r="D30" s="4" t="s">
        <v>94</v>
      </c>
      <c r="E30" s="4" t="s">
        <v>18</v>
      </c>
      <c r="F30" s="5" t="s">
        <v>14</v>
      </c>
      <c r="G30" s="6"/>
    </row>
    <row r="31" customFormat="false" ht="15" hidden="false" customHeight="false" outlineLevel="0" collapsed="false">
      <c r="A31" s="4" t="s">
        <v>75</v>
      </c>
      <c r="B31" s="4" t="s">
        <v>95</v>
      </c>
      <c r="C31" s="4" t="s">
        <v>96</v>
      </c>
      <c r="D31" s="4" t="s">
        <v>97</v>
      </c>
      <c r="E31" s="4" t="s">
        <v>79</v>
      </c>
      <c r="F31" s="5" t="s">
        <v>14</v>
      </c>
      <c r="G31" s="6"/>
    </row>
    <row r="32" customFormat="false" ht="15" hidden="false" customHeight="false" outlineLevel="0" collapsed="false">
      <c r="A32" s="4" t="s">
        <v>75</v>
      </c>
      <c r="B32" s="4" t="s">
        <v>98</v>
      </c>
      <c r="C32" s="4" t="s">
        <v>99</v>
      </c>
      <c r="D32" s="4" t="s">
        <v>100</v>
      </c>
      <c r="E32" s="4" t="s">
        <v>18</v>
      </c>
      <c r="F32" s="5" t="s">
        <v>14</v>
      </c>
      <c r="G32" s="6"/>
    </row>
    <row r="33" customFormat="false" ht="26.85" hidden="false" customHeight="false" outlineLevel="0" collapsed="false">
      <c r="A33" s="7" t="s">
        <v>75</v>
      </c>
      <c r="B33" s="7" t="s">
        <v>101</v>
      </c>
      <c r="C33" s="7" t="s">
        <v>32</v>
      </c>
      <c r="D33" s="7" t="s">
        <v>33</v>
      </c>
      <c r="E33" s="7" t="s">
        <v>18</v>
      </c>
      <c r="F33" s="5" t="s">
        <v>14</v>
      </c>
      <c r="G33" s="6"/>
    </row>
    <row r="34" customFormat="false" ht="39.55" hidden="false" customHeight="false" outlineLevel="0" collapsed="false">
      <c r="A34" s="4" t="s">
        <v>102</v>
      </c>
      <c r="B34" s="4" t="s">
        <v>103</v>
      </c>
      <c r="C34" s="4" t="s">
        <v>104</v>
      </c>
      <c r="D34" s="4" t="s">
        <v>105</v>
      </c>
      <c r="E34" s="4" t="s">
        <v>106</v>
      </c>
      <c r="F34" s="5" t="s">
        <v>14</v>
      </c>
      <c r="G34" s="6"/>
    </row>
    <row r="35" customFormat="false" ht="26.85" hidden="false" customHeight="false" outlineLevel="0" collapsed="false">
      <c r="A35" s="4" t="s">
        <v>102</v>
      </c>
      <c r="B35" s="4" t="s">
        <v>107</v>
      </c>
      <c r="C35" s="4" t="s">
        <v>108</v>
      </c>
      <c r="D35" s="4" t="s">
        <v>109</v>
      </c>
      <c r="E35" s="4" t="s">
        <v>106</v>
      </c>
      <c r="F35" s="5" t="s">
        <v>14</v>
      </c>
      <c r="G35" s="6"/>
    </row>
    <row r="36" customFormat="false" ht="26.85" hidden="false" customHeight="false" outlineLevel="0" collapsed="false">
      <c r="A36" s="4" t="s">
        <v>102</v>
      </c>
      <c r="B36" s="4" t="s">
        <v>110</v>
      </c>
      <c r="C36" s="4" t="s">
        <v>111</v>
      </c>
      <c r="D36" s="4" t="s">
        <v>112</v>
      </c>
      <c r="E36" s="4" t="s">
        <v>106</v>
      </c>
      <c r="F36" s="5" t="s">
        <v>14</v>
      </c>
      <c r="G36" s="6"/>
    </row>
    <row r="37" customFormat="false" ht="26.85" hidden="false" customHeight="false" outlineLevel="0" collapsed="false">
      <c r="A37" s="4" t="s">
        <v>102</v>
      </c>
      <c r="B37" s="4" t="s">
        <v>113</v>
      </c>
      <c r="C37" s="4" t="s">
        <v>114</v>
      </c>
      <c r="D37" s="4" t="s">
        <v>115</v>
      </c>
      <c r="E37" s="4" t="s">
        <v>106</v>
      </c>
      <c r="F37" s="5" t="s">
        <v>14</v>
      </c>
      <c r="G37" s="6"/>
    </row>
    <row r="38" customFormat="false" ht="26.85" hidden="false" customHeight="false" outlineLevel="0" collapsed="false">
      <c r="A38" s="4" t="s">
        <v>102</v>
      </c>
      <c r="B38" s="4" t="s">
        <v>116</v>
      </c>
      <c r="C38" s="4" t="s">
        <v>117</v>
      </c>
      <c r="D38" s="4" t="s">
        <v>118</v>
      </c>
      <c r="E38" s="4" t="s">
        <v>106</v>
      </c>
      <c r="F38" s="5" t="s">
        <v>14</v>
      </c>
      <c r="G38" s="6"/>
    </row>
    <row r="39" customFormat="false" ht="26.85" hidden="false" customHeight="false" outlineLevel="0" collapsed="false">
      <c r="A39" s="4" t="s">
        <v>102</v>
      </c>
      <c r="B39" s="4" t="s">
        <v>119</v>
      </c>
      <c r="C39" s="4" t="s">
        <v>120</v>
      </c>
      <c r="D39" s="4" t="s">
        <v>121</v>
      </c>
      <c r="E39" s="4" t="s">
        <v>106</v>
      </c>
      <c r="F39" s="5" t="s">
        <v>14</v>
      </c>
      <c r="G39" s="6"/>
    </row>
    <row r="40" customFormat="false" ht="15" hidden="false" customHeight="false" outlineLevel="0" collapsed="false">
      <c r="A40" s="4" t="s">
        <v>102</v>
      </c>
      <c r="B40" s="4" t="s">
        <v>122</v>
      </c>
      <c r="C40" s="4" t="s">
        <v>123</v>
      </c>
      <c r="D40" s="4" t="s">
        <v>124</v>
      </c>
      <c r="E40" s="4" t="s">
        <v>106</v>
      </c>
      <c r="F40" s="5" t="s">
        <v>14</v>
      </c>
      <c r="G40" s="6"/>
    </row>
    <row r="41" customFormat="false" ht="26.85" hidden="false" customHeight="false" outlineLevel="0" collapsed="false">
      <c r="A41" s="4" t="s">
        <v>102</v>
      </c>
      <c r="B41" s="4" t="s">
        <v>125</v>
      </c>
      <c r="C41" s="4" t="s">
        <v>126</v>
      </c>
      <c r="D41" s="4" t="s">
        <v>127</v>
      </c>
      <c r="E41" s="4" t="s">
        <v>18</v>
      </c>
      <c r="F41" s="5" t="s">
        <v>14</v>
      </c>
      <c r="G41" s="6"/>
    </row>
    <row r="42" customFormat="false" ht="26.85" hidden="false" customHeight="false" outlineLevel="0" collapsed="false">
      <c r="A42" s="4" t="s">
        <v>102</v>
      </c>
      <c r="B42" s="4" t="s">
        <v>128</v>
      </c>
      <c r="C42" s="4" t="s">
        <v>129</v>
      </c>
      <c r="D42" s="4" t="s">
        <v>130</v>
      </c>
      <c r="E42" s="4" t="s">
        <v>106</v>
      </c>
      <c r="F42" s="5" t="s">
        <v>14</v>
      </c>
      <c r="G42" s="6"/>
    </row>
    <row r="43" customFormat="false" ht="26.85" hidden="false" customHeight="false" outlineLevel="0" collapsed="false">
      <c r="A43" s="4" t="s">
        <v>102</v>
      </c>
      <c r="B43" s="4" t="s">
        <v>131</v>
      </c>
      <c r="C43" s="4" t="s">
        <v>132</v>
      </c>
      <c r="D43" s="4" t="s">
        <v>133</v>
      </c>
      <c r="E43" s="4" t="s">
        <v>106</v>
      </c>
      <c r="F43" s="5" t="s">
        <v>14</v>
      </c>
      <c r="G43" s="6"/>
    </row>
    <row r="44" customFormat="false" ht="26.85" hidden="false" customHeight="false" outlineLevel="0" collapsed="false">
      <c r="A44" s="7" t="s">
        <v>102</v>
      </c>
      <c r="B44" s="7" t="s">
        <v>134</v>
      </c>
      <c r="C44" s="7" t="s">
        <v>32</v>
      </c>
      <c r="D44" s="7" t="s">
        <v>33</v>
      </c>
      <c r="E44" s="7" t="s">
        <v>18</v>
      </c>
      <c r="F44" s="5" t="s">
        <v>14</v>
      </c>
      <c r="G44" s="6"/>
    </row>
    <row r="45" customFormat="false" ht="26.85" hidden="false" customHeight="false" outlineLevel="0" collapsed="false">
      <c r="A45" s="4" t="s">
        <v>135</v>
      </c>
      <c r="B45" s="4" t="s">
        <v>136</v>
      </c>
      <c r="C45" s="4" t="s">
        <v>137</v>
      </c>
      <c r="D45" s="4" t="s">
        <v>138</v>
      </c>
      <c r="E45" s="4" t="s">
        <v>106</v>
      </c>
      <c r="F45" s="5" t="s">
        <v>14</v>
      </c>
      <c r="G45" s="6"/>
    </row>
    <row r="46" customFormat="false" ht="64.9" hidden="false" customHeight="false" outlineLevel="0" collapsed="false">
      <c r="A46" s="4" t="s">
        <v>135</v>
      </c>
      <c r="B46" s="4" t="s">
        <v>139</v>
      </c>
      <c r="C46" s="4" t="s">
        <v>140</v>
      </c>
      <c r="D46" s="4" t="s">
        <v>141</v>
      </c>
      <c r="E46" s="4" t="s">
        <v>106</v>
      </c>
      <c r="F46" s="5" t="s">
        <v>14</v>
      </c>
      <c r="G46" s="6"/>
    </row>
    <row r="47" customFormat="false" ht="26.85" hidden="false" customHeight="false" outlineLevel="0" collapsed="false">
      <c r="A47" s="4" t="s">
        <v>135</v>
      </c>
      <c r="B47" s="4" t="s">
        <v>142</v>
      </c>
      <c r="C47" s="4" t="s">
        <v>143</v>
      </c>
      <c r="D47" s="4" t="s">
        <v>144</v>
      </c>
      <c r="E47" s="4" t="s">
        <v>106</v>
      </c>
      <c r="F47" s="5" t="s">
        <v>14</v>
      </c>
      <c r="G47" s="6"/>
    </row>
    <row r="48" customFormat="false" ht="26.85" hidden="false" customHeight="false" outlineLevel="0" collapsed="false">
      <c r="A48" s="4" t="s">
        <v>135</v>
      </c>
      <c r="B48" s="4" t="s">
        <v>145</v>
      </c>
      <c r="C48" s="4" t="s">
        <v>146</v>
      </c>
      <c r="D48" s="4" t="s">
        <v>147</v>
      </c>
      <c r="E48" s="4" t="s">
        <v>106</v>
      </c>
      <c r="F48" s="5" t="s">
        <v>14</v>
      </c>
      <c r="G48" s="6"/>
    </row>
    <row r="49" customFormat="false" ht="26.85" hidden="false" customHeight="false" outlineLevel="0" collapsed="false">
      <c r="A49" s="4" t="s">
        <v>135</v>
      </c>
      <c r="B49" s="4" t="s">
        <v>148</v>
      </c>
      <c r="C49" s="4" t="s">
        <v>149</v>
      </c>
      <c r="D49" s="4" t="s">
        <v>150</v>
      </c>
      <c r="E49" s="4" t="s">
        <v>106</v>
      </c>
      <c r="F49" s="5" t="s">
        <v>14</v>
      </c>
      <c r="G49" s="6"/>
    </row>
    <row r="50" customFormat="false" ht="26.85" hidden="false" customHeight="false" outlineLevel="0" collapsed="false">
      <c r="A50" s="7" t="s">
        <v>135</v>
      </c>
      <c r="B50" s="7" t="s">
        <v>151</v>
      </c>
      <c r="C50" s="7" t="s">
        <v>32</v>
      </c>
      <c r="D50" s="7" t="s">
        <v>33</v>
      </c>
      <c r="E50" s="7" t="s">
        <v>18</v>
      </c>
      <c r="F50" s="5" t="s">
        <v>14</v>
      </c>
      <c r="G50" s="6"/>
    </row>
    <row r="52" customFormat="false" ht="15" hidden="false" customHeight="false" outlineLevel="0" collapsed="false">
      <c r="C52" s="8" t="s">
        <v>152</v>
      </c>
    </row>
    <row r="53" customFormat="false" ht="15" hidden="false" customHeight="false" outlineLevel="0" collapsed="false">
      <c r="C53" s="9" t="s">
        <v>153</v>
      </c>
      <c r="D53" s="10" t="n">
        <f aca="false">COUNTIF(B5:B50,"G*.*")</f>
        <v>40</v>
      </c>
    </row>
    <row r="54" customFormat="false" ht="15" hidden="false" customHeight="false" outlineLevel="0" collapsed="false">
      <c r="C54" s="9" t="s">
        <v>154</v>
      </c>
      <c r="D54" s="10" t="n">
        <f aca="false">COUNTIFS(B5:B50,"G*.*",F5:F50,"Done")</f>
        <v>0</v>
      </c>
    </row>
    <row r="55" customFormat="false" ht="15" hidden="false" customHeight="false" outlineLevel="0" collapsed="false">
      <c r="C55" s="9" t="s">
        <v>155</v>
      </c>
      <c r="D55" s="10" t="n">
        <f aca="false">COUNTIFS(B5:B50,"G*.*",F5:F50,"In progress")</f>
        <v>0</v>
      </c>
    </row>
    <row r="56" customFormat="false" ht="15" hidden="false" customHeight="false" outlineLevel="0" collapsed="false">
      <c r="C56" s="9" t="s">
        <v>156</v>
      </c>
      <c r="D56" s="10" t="n">
        <f aca="false">COUNTIFS(B5:B50,"G*.*",F5:F50,"Blocked")</f>
        <v>0</v>
      </c>
    </row>
    <row r="57" customFormat="false" ht="15" hidden="false" customHeight="false" outlineLevel="0" collapsed="false">
      <c r="C57" s="9" t="s">
        <v>157</v>
      </c>
      <c r="D57" s="11" t="n">
        <f aca="false">IFERROR(D54/D53,0)</f>
        <v>0</v>
      </c>
    </row>
  </sheetData>
  <conditionalFormatting sqref="A5:G50">
    <cfRule type="expression" priority="2" aboveAverage="0" equalAverage="0" bottom="0" percent="0" rank="0" text="" dxfId="0">
      <formula>$F5="Done"</formula>
    </cfRule>
    <cfRule type="expression" priority="3" aboveAverage="0" equalAverage="0" bottom="0" percent="0" rank="0" text="" dxfId="1">
      <formula>$F5="In progress"</formula>
    </cfRule>
    <cfRule type="expression" priority="4" aboveAverage="0" equalAverage="0" bottom="0" percent="0" rank="0" text="" dxfId="2">
      <formula>$F5="Waiting on SQL"</formula>
    </cfRule>
    <cfRule type="expression" priority="5" aboveAverage="0" equalAverage="0" bottom="0" percent="0" rank="0" text="" dxfId="3">
      <formula>$F5="Blocked"</formula>
    </cfRule>
  </conditionalFormatting>
  <dataValidations count="1">
    <dataValidation allowBlank="false" errorStyle="stop" operator="between" showDropDown="false" showErrorMessage="false" showInputMessage="false" sqref="F5:F50" type="list">
      <formula1>"Not started,In progress,Waiting on SQL,Blocked,Done"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55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158</v>
      </c>
    </row>
    <row r="3" customFormat="false" ht="15" hidden="false" customHeight="false" outlineLevel="0" collapsed="false">
      <c r="A3" s="12" t="s">
        <v>159</v>
      </c>
      <c r="B3" s="12" t="s">
        <v>160</v>
      </c>
      <c r="C3" s="12" t="s">
        <v>161</v>
      </c>
      <c r="D3" s="12" t="s">
        <v>162</v>
      </c>
      <c r="E3" s="12" t="s">
        <v>163</v>
      </c>
      <c r="F3" s="12" t="s">
        <v>164</v>
      </c>
      <c r="G3" s="12" t="s">
        <v>8</v>
      </c>
    </row>
    <row r="4" customFormat="false" ht="26.85" hidden="false" customHeight="false" outlineLevel="0" collapsed="false">
      <c r="A4" s="4" t="s">
        <v>165</v>
      </c>
      <c r="B4" s="4" t="s">
        <v>139</v>
      </c>
      <c r="C4" s="4" t="s">
        <v>166</v>
      </c>
      <c r="D4" s="4" t="s">
        <v>167</v>
      </c>
      <c r="E4" s="4" t="s">
        <v>168</v>
      </c>
      <c r="F4" s="6"/>
      <c r="G4" s="6"/>
    </row>
    <row r="5" customFormat="false" ht="39.55" hidden="false" customHeight="false" outlineLevel="0" collapsed="false">
      <c r="A5" s="4" t="s">
        <v>169</v>
      </c>
      <c r="B5" s="4" t="s">
        <v>142</v>
      </c>
      <c r="C5" s="4" t="s">
        <v>170</v>
      </c>
      <c r="D5" s="4" t="s">
        <v>171</v>
      </c>
      <c r="E5" s="4" t="s">
        <v>172</v>
      </c>
      <c r="F5" s="6"/>
      <c r="G5" s="6"/>
    </row>
    <row r="6" customFormat="false" ht="26.85" hidden="false" customHeight="false" outlineLevel="0" collapsed="false">
      <c r="A6" s="4" t="s">
        <v>173</v>
      </c>
      <c r="B6" s="4" t="s">
        <v>139</v>
      </c>
      <c r="C6" s="4" t="s">
        <v>174</v>
      </c>
      <c r="D6" s="4" t="s">
        <v>175</v>
      </c>
      <c r="E6" s="4" t="s">
        <v>176</v>
      </c>
      <c r="F6" s="6"/>
      <c r="G6" s="6"/>
    </row>
    <row r="7" customFormat="false" ht="26.85" hidden="false" customHeight="false" outlineLevel="0" collapsed="false">
      <c r="A7" s="4" t="s">
        <v>177</v>
      </c>
      <c r="B7" s="4" t="s">
        <v>139</v>
      </c>
      <c r="C7" s="4" t="s">
        <v>170</v>
      </c>
      <c r="D7" s="4" t="s">
        <v>178</v>
      </c>
      <c r="E7" s="4" t="s">
        <v>179</v>
      </c>
      <c r="F7" s="6"/>
      <c r="G7" s="6"/>
    </row>
    <row r="8" customFormat="false" ht="26.85" hidden="false" customHeight="false" outlineLevel="0" collapsed="false">
      <c r="A8" s="4" t="s">
        <v>180</v>
      </c>
      <c r="B8" s="4" t="s">
        <v>145</v>
      </c>
      <c r="C8" s="4" t="s">
        <v>181</v>
      </c>
      <c r="D8" s="4" t="s">
        <v>167</v>
      </c>
      <c r="E8" s="4" t="s">
        <v>182</v>
      </c>
      <c r="F8" s="6"/>
      <c r="G8" s="6"/>
    </row>
    <row r="9" customFormat="false" ht="26.85" hidden="false" customHeight="false" outlineLevel="0" collapsed="false">
      <c r="A9" s="4" t="s">
        <v>183</v>
      </c>
      <c r="B9" s="4" t="s">
        <v>145</v>
      </c>
      <c r="C9" s="4" t="s">
        <v>170</v>
      </c>
      <c r="D9" s="4" t="s">
        <v>167</v>
      </c>
      <c r="E9" s="4" t="s">
        <v>184</v>
      </c>
      <c r="F9" s="6"/>
      <c r="G9" s="6"/>
    </row>
    <row r="10" customFormat="false" ht="15" hidden="false" customHeight="false" outlineLevel="0" collapsed="false">
      <c r="A10" s="4" t="s">
        <v>185</v>
      </c>
      <c r="B10" s="4" t="s">
        <v>103</v>
      </c>
      <c r="C10" s="4" t="s">
        <v>170</v>
      </c>
      <c r="D10" s="4" t="s">
        <v>167</v>
      </c>
      <c r="E10" s="4" t="s">
        <v>186</v>
      </c>
      <c r="F10" s="6"/>
      <c r="G10" s="6"/>
    </row>
    <row r="11" customFormat="false" ht="15" hidden="false" customHeight="false" outlineLevel="0" collapsed="false">
      <c r="A11" s="4" t="s">
        <v>187</v>
      </c>
      <c r="B11" s="4" t="s">
        <v>145</v>
      </c>
      <c r="C11" s="4" t="s">
        <v>188</v>
      </c>
      <c r="D11" s="4" t="s">
        <v>167</v>
      </c>
      <c r="E11" s="4" t="s">
        <v>189</v>
      </c>
      <c r="F11" s="6"/>
      <c r="G11" s="6"/>
    </row>
    <row r="12" customFormat="false" ht="15" hidden="false" customHeight="false" outlineLevel="0" collapsed="false">
      <c r="A12" s="4" t="s">
        <v>190</v>
      </c>
      <c r="B12" s="4" t="s">
        <v>145</v>
      </c>
      <c r="C12" s="4" t="s">
        <v>191</v>
      </c>
      <c r="D12" s="4" t="s">
        <v>167</v>
      </c>
      <c r="E12" s="4" t="s">
        <v>192</v>
      </c>
      <c r="F12" s="6"/>
      <c r="G12" s="6"/>
    </row>
    <row r="13" customFormat="false" ht="15" hidden="false" customHeight="false" outlineLevel="0" collapsed="false">
      <c r="A13" s="4" t="s">
        <v>193</v>
      </c>
      <c r="B13" s="4" t="s">
        <v>145</v>
      </c>
      <c r="C13" s="4" t="s">
        <v>188</v>
      </c>
      <c r="D13" s="4" t="s">
        <v>167</v>
      </c>
      <c r="E13" s="4" t="s">
        <v>194</v>
      </c>
      <c r="F13" s="6"/>
      <c r="G13" s="6"/>
    </row>
  </sheetData>
  <dataValidations count="1">
    <dataValidation allowBlank="true" errorStyle="stop" operator="between" showDropDown="false" showErrorMessage="false" showInputMessage="false" sqref="F4:F1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8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195</v>
      </c>
    </row>
    <row r="3" customFormat="false" ht="15" hidden="false" customHeight="false" outlineLevel="0" collapsed="false">
      <c r="A3" s="12" t="s">
        <v>196</v>
      </c>
      <c r="B3" s="12" t="s">
        <v>197</v>
      </c>
      <c r="C3" s="12" t="s">
        <v>198</v>
      </c>
    </row>
    <row r="4" customFormat="false" ht="15" hidden="false" customHeight="false" outlineLevel="0" collapsed="false">
      <c r="A4" s="4" t="s">
        <v>199</v>
      </c>
      <c r="B4" s="4" t="s">
        <v>200</v>
      </c>
      <c r="C4" s="4" t="s">
        <v>201</v>
      </c>
    </row>
    <row r="5" customFormat="false" ht="26.85" hidden="false" customHeight="false" outlineLevel="0" collapsed="false">
      <c r="A5" s="4" t="s">
        <v>202</v>
      </c>
      <c r="B5" s="4" t="s">
        <v>203</v>
      </c>
      <c r="C5" s="4" t="s">
        <v>204</v>
      </c>
    </row>
    <row r="6" customFormat="false" ht="39.55" hidden="false" customHeight="false" outlineLevel="0" collapsed="false">
      <c r="A6" s="4" t="s">
        <v>205</v>
      </c>
      <c r="B6" s="4" t="s">
        <v>206</v>
      </c>
      <c r="C6" s="4" t="s">
        <v>207</v>
      </c>
    </row>
    <row r="7" customFormat="false" ht="26.85" hidden="false" customHeight="false" outlineLevel="0" collapsed="false">
      <c r="A7" s="4" t="s">
        <v>208</v>
      </c>
      <c r="B7" s="4" t="s">
        <v>209</v>
      </c>
      <c r="C7" s="4" t="s">
        <v>210</v>
      </c>
    </row>
    <row r="8" customFormat="false" ht="26.85" hidden="false" customHeight="false" outlineLevel="0" collapsed="false">
      <c r="A8" s="4" t="s">
        <v>211</v>
      </c>
      <c r="B8" s="4" t="s">
        <v>212</v>
      </c>
      <c r="C8" s="4" t="s">
        <v>213</v>
      </c>
    </row>
    <row r="9" customFormat="false" ht="15" hidden="false" customHeight="false" outlineLevel="0" collapsed="false">
      <c r="A9" s="4" t="s">
        <v>214</v>
      </c>
      <c r="B9" s="4" t="s">
        <v>215</v>
      </c>
      <c r="C9" s="4" t="s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217</v>
      </c>
    </row>
    <row r="3" customFormat="false" ht="15" hidden="false" customHeight="false" outlineLevel="0" collapsed="false">
      <c r="A3" s="12" t="s">
        <v>218</v>
      </c>
      <c r="B3" s="12" t="s">
        <v>219</v>
      </c>
    </row>
    <row r="4" customFormat="false" ht="15" hidden="false" customHeight="false" outlineLevel="0" collapsed="false">
      <c r="A4" s="7" t="s">
        <v>220</v>
      </c>
      <c r="B4" s="4" t="s">
        <v>221</v>
      </c>
    </row>
    <row r="5" customFormat="false" ht="15" hidden="false" customHeight="false" outlineLevel="0" collapsed="false">
      <c r="A5" s="7" t="s">
        <v>222</v>
      </c>
      <c r="B5" s="4" t="s">
        <v>223</v>
      </c>
    </row>
    <row r="6" customFormat="false" ht="15" hidden="false" customHeight="false" outlineLevel="0" collapsed="false">
      <c r="A6" s="7" t="s">
        <v>224</v>
      </c>
      <c r="B6" s="4" t="s">
        <v>225</v>
      </c>
    </row>
    <row r="7" customFormat="false" ht="15" hidden="false" customHeight="false" outlineLevel="0" collapsed="false">
      <c r="A7" s="7" t="s">
        <v>226</v>
      </c>
      <c r="B7" s="4" t="s">
        <v>227</v>
      </c>
    </row>
    <row r="8" customFormat="false" ht="26.85" hidden="false" customHeight="false" outlineLevel="0" collapsed="false">
      <c r="A8" s="7" t="s">
        <v>228</v>
      </c>
      <c r="B8" s="4" t="s">
        <v>229</v>
      </c>
    </row>
    <row r="9" customFormat="false" ht="26.85" hidden="false" customHeight="false" outlineLevel="0" collapsed="false">
      <c r="A9" s="7" t="s">
        <v>230</v>
      </c>
      <c r="B9" s="4" t="s">
        <v>231</v>
      </c>
    </row>
    <row r="10" customFormat="false" ht="26.85" hidden="false" customHeight="false" outlineLevel="0" collapsed="false">
      <c r="A10" s="7" t="s">
        <v>232</v>
      </c>
      <c r="B10" s="4" t="s">
        <v>233</v>
      </c>
    </row>
    <row r="11" customFormat="false" ht="15" hidden="false" customHeight="false" outlineLevel="0" collapsed="false">
      <c r="A11" s="7" t="s">
        <v>234</v>
      </c>
      <c r="B11" s="4" t="s">
        <v>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2026-09-30T19:27:45Z</dcterms:created>
  <dc:creator>openpyxl</dc:creator>
  <dc:description/>
  <dc:language>en-US</dc:language>
  <cp:lastModifiedBy/>
  <dcterms:modified xsi:type="dcterms:W3CDTF">2026-09-30T19:27:45Z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